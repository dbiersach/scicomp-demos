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aveB\SciComp\Courses\mtplt\"/>
    </mc:Choice>
  </mc:AlternateContent>
  <xr:revisionPtr revIDLastSave="0" documentId="13_ncr:1_{6C7B2642-6975-4FAF-BB07-1EF4E55FCDDE}" xr6:coauthVersionLast="47" xr6:coauthVersionMax="47" xr10:uidLastSave="{00000000-0000-0000-0000-000000000000}"/>
  <bookViews>
    <workbookView xWindow="-120" yWindow="-120" windowWidth="29040" windowHeight="17640" xr2:uid="{33F6F95C-2D53-4E62-A210-0FCD4640A9B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70" i="1" l="1"/>
  <c r="H69" i="1"/>
  <c r="H68" i="1"/>
  <c r="H67" i="1"/>
  <c r="H66" i="1"/>
  <c r="H65" i="1"/>
  <c r="H64" i="1"/>
  <c r="H6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26" i="1"/>
  <c r="H27" i="1"/>
  <c r="H28" i="1"/>
  <c r="H29" i="1"/>
  <c r="H30" i="1"/>
  <c r="H31" i="1"/>
  <c r="H32" i="1"/>
  <c r="H33" i="1"/>
  <c r="H34" i="1"/>
  <c r="H35" i="1"/>
  <c r="H12" i="1"/>
  <c r="H13" i="1"/>
  <c r="H14" i="1"/>
  <c r="H15" i="1"/>
  <c r="H16" i="1"/>
  <c r="H17" i="1"/>
  <c r="H18" i="1"/>
  <c r="H19" i="1"/>
  <c r="H20" i="1"/>
  <c r="H21" i="1"/>
  <c r="H71" i="1" l="1"/>
  <c r="H53" i="1"/>
  <c r="H36" i="1"/>
  <c r="H22" i="1"/>
</calcChain>
</file>

<file path=xl/sharedStrings.xml><?xml version="1.0" encoding="utf-8"?>
<sst xmlns="http://schemas.openxmlformats.org/spreadsheetml/2006/main" count="126" uniqueCount="60">
  <si>
    <t>PLATE, 6x10</t>
  </si>
  <si>
    <t>Description</t>
  </si>
  <si>
    <t>https://www.lego.com/en-us/page/static/pick-a-brick</t>
  </si>
  <si>
    <t>Qty</t>
  </si>
  <si>
    <t>PLATE, 4x6</t>
  </si>
  <si>
    <t>Color</t>
  </si>
  <si>
    <t>Black</t>
  </si>
  <si>
    <t>Medium Stone Grey</t>
  </si>
  <si>
    <t>PLATE 1X6</t>
  </si>
  <si>
    <t>TECHNIC BRICK 1X4, Ø4,9</t>
  </si>
  <si>
    <t>Dark Stone Grey</t>
  </si>
  <si>
    <t>Element ID</t>
  </si>
  <si>
    <t>Design ID</t>
  </si>
  <si>
    <t>Brick Yellow</t>
  </si>
  <si>
    <t>BRICK 1X8</t>
  </si>
  <si>
    <t>BRICK 1X6, Ø4,9</t>
  </si>
  <si>
    <t>PLATE 4X4</t>
  </si>
  <si>
    <t>Bright Red</t>
  </si>
  <si>
    <t>BRICK 1X2</t>
  </si>
  <si>
    <t>PLATE 1X3</t>
  </si>
  <si>
    <t>CONNECTOR PEG</t>
  </si>
  <si>
    <t>WeldingCity 10-pk TIG Rod 2.0% Thoriated 1/8" 10-pcs</t>
  </si>
  <si>
    <t>Geiger Counter 0.01 μSv/h Miller GM Tube for Arduino</t>
  </si>
  <si>
    <t>10 pcs Thorium Lantern Mantle</t>
  </si>
  <si>
    <t>PLATE 4X12</t>
  </si>
  <si>
    <t>BRICK 2X8</t>
  </si>
  <si>
    <t>PLATE 4X6</t>
  </si>
  <si>
    <t>White</t>
  </si>
  <si>
    <t>PLATE 2X6</t>
  </si>
  <si>
    <t>BRICK 1X4</t>
  </si>
  <si>
    <t>TECHNIC BRICK 1X14, Ø4,9</t>
  </si>
  <si>
    <t>PLATE 6X12</t>
  </si>
  <si>
    <t>TECHNIC BRICK 1X12, Ø4,9</t>
  </si>
  <si>
    <t>BRICK 1X16, Ø4,9</t>
  </si>
  <si>
    <t>BRICK 2X4</t>
  </si>
  <si>
    <t>PLATE 2X8</t>
  </si>
  <si>
    <t>PLATE 1X8</t>
  </si>
  <si>
    <t>TECHNIC BRICK 1X8</t>
  </si>
  <si>
    <t>Unit Cost</t>
  </si>
  <si>
    <t>Total Cost</t>
  </si>
  <si>
    <t>PLATE 2X3</t>
  </si>
  <si>
    <t>Bright Yellow</t>
  </si>
  <si>
    <t>PLATE 2X12</t>
  </si>
  <si>
    <t>SparkFun Triad Spectroscopy Sensor - AS7265x (Qwiic)</t>
  </si>
  <si>
    <t>SparkFun Qwiic Cable - 500mm</t>
  </si>
  <si>
    <t>Specimen Density Set (Ten Cube)</t>
  </si>
  <si>
    <t>Pioneer Photo Albums Photo Storage Box</t>
  </si>
  <si>
    <t>4 in x 30 ft - Vibrancy Enhancing Projector Felt Tape</t>
  </si>
  <si>
    <t>BRICK 2X2</t>
  </si>
  <si>
    <t>BRICK 2X3</t>
  </si>
  <si>
    <t>BRICK 1X6</t>
  </si>
  <si>
    <t>PLATE 4X8</t>
  </si>
  <si>
    <t>FLAT TILE 1X4</t>
  </si>
  <si>
    <t>Uranium Ore</t>
  </si>
  <si>
    <t>Holder - Thorium Mantle</t>
  </si>
  <si>
    <t>Holder - Uranium Ore</t>
  </si>
  <si>
    <t>Holder - Thorium Rods</t>
  </si>
  <si>
    <t>Radiation Absorbtion vs. Distance Lab</t>
  </si>
  <si>
    <t>Lego Blocks (Online Ordering)</t>
  </si>
  <si>
    <t>Spectrophotometry Lab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</si>
</sst>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44" formatCode="_(&quot;$&quot;* #,##0.00_);_(&quot;$&quot;* \(#,##0.00\);_(&quot;$&quot;* &quot;-&quot;??_);_(@_)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3" fillId="0" borderId="0" applyNumberFormat="0" applyFill="0" applyBorder="0" applyAlignment="0" applyProtection="0"/>
  </cellStyleXfs>
  <cellXfs count="16">
    <xf numFmtId="0" fontId="0" fillId="0" borderId="0" xfId="0"/>
    <xf numFmtId="0" fontId="0" fillId="0" borderId="0" xfId="0" applyAlignment="1">
      <alignment horizontal="left"/>
    </xf>
    <xf numFmtId="0" fontId="3" fillId="0" borderId="0" xfId="2"/>
    <xf numFmtId="44" fontId="0" fillId="0" borderId="0" xfId="1" applyFont="1"/>
    <xf numFmtId="0" fontId="2" fillId="0" borderId="0" xfId="0" applyFont="1"/>
    <xf numFmtId="0" fontId="2" fillId="0" borderId="0" xfId="0" applyFont="1" applyAlignment="1">
      <alignment horizontal="left"/>
    </xf>
    <xf numFmtId="0" fontId="3" fillId="0" borderId="0" xfId="2" applyAlignment="1">
      <alignment horizontal="left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44" fontId="0" fillId="0" borderId="0" xfId="1" applyFont="1" applyAlignment="1">
      <alignment horizontal="right"/>
    </xf>
    <xf numFmtId="44" fontId="0" fillId="0" borderId="0" xfId="1" applyFont="1" applyAlignment="1">
      <alignment horizontal="center"/>
    </xf>
    <xf numFmtId="44" fontId="0" fillId="0" borderId="0" xfId="0" applyNumberFormat="1"/>
    <xf numFmtId="0" fontId="0" fillId="0" borderId="0" xfId="0" applyFill="1"/>
    <xf numFmtId="8" fontId="2" fillId="0" borderId="0" xfId="0" applyNumberFormat="1" applyFont="1"/>
    <xf numFmtId="44" fontId="2" fillId="0" borderId="0" xfId="0" applyNumberFormat="1" applyFont="1"/>
    <xf numFmtId="44" fontId="2" fillId="0" borderId="0" xfId="1" applyFont="1"/>
  </cellXfs>
  <cellStyles count="3">
    <cellStyle name="Currency" xfId="1" builtinId="4"/>
    <cellStyle name="Hyperlink" xfId="2" builtinId="8"/>
    <cellStyle name="Normal" xfId="0" builtinId="0"/>
  </cellStyles>
  <dxfs count="4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</font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15B6CA1-7154-474B-B3D3-0F4C8C528C54}" name="Table1" displayName="Table1" ref="B11:H22" totalsRowCount="1" headerRowDxfId="42">
  <autoFilter ref="B11:H21" xr:uid="{215B6CA1-7154-474B-B3D3-0F4C8C528C54}"/>
  <tableColumns count="7">
    <tableColumn id="1" xr3:uid="{564D48FD-F909-4B55-AA29-ADEE9CD18D66}" name="Element ID" dataDxfId="41" totalsRowDxfId="40"/>
    <tableColumn id="2" xr3:uid="{39838B4D-4B51-4BFE-ACA9-8FAFFE525F80}" name="Design ID" dataDxfId="39" totalsRowDxfId="38"/>
    <tableColumn id="3" xr3:uid="{E9288CCB-86FC-4BE9-B1C4-84333CE04902}" name="Description"/>
    <tableColumn id="4" xr3:uid="{1D138C89-107F-4EC8-9FB9-69A9F00A177F}" name="Color"/>
    <tableColumn id="5" xr3:uid="{6AA735CF-47D4-4AF1-80FA-BF718702F23B}" name="Qty" dataDxfId="37" totalsRowDxfId="36"/>
    <tableColumn id="6" xr3:uid="{BCA54258-9CD9-4CFE-98B1-90640F92C25D}" name="Unit Cost" dataDxfId="35" totalsRowDxfId="34" dataCellStyle="Currency" totalsRowCellStyle="Currency"/>
    <tableColumn id="7" xr3:uid="{7FA863FF-675A-4094-BC65-DB0AB92D70F4}" name="Total Cost" totalsRowFunction="sum" dataDxfId="33" totalsRowDxfId="32">
      <calculatedColumnFormula>+Table1[[#This Row],[Qty]]*Table1[[#This Row],[Unit Cost]]</calculatedColumnFormula>
    </tableColumn>
  </tableColumns>
  <tableStyleInfo name="TableStyleMedium1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F5CCCC0-F9D2-449F-B36A-EEC03943BA2C}" name="Table2" displayName="Table2" ref="B25:H36" totalsRowCount="1" headerRowDxfId="31">
  <autoFilter ref="B25:H35" xr:uid="{DF5CCCC0-F9D2-449F-B36A-EEC03943BA2C}"/>
  <tableColumns count="7">
    <tableColumn id="1" xr3:uid="{C8E1CA15-0753-42AF-9CC0-F5A281EBBF6D}" name="Element ID" dataDxfId="30" totalsRowDxfId="29"/>
    <tableColumn id="2" xr3:uid="{0F1FFFBF-A25E-4E70-8D71-7273A95858CD}" name="Design ID" dataDxfId="28" totalsRowDxfId="27"/>
    <tableColumn id="3" xr3:uid="{0F623581-BDF8-4249-A2FA-FB317AA271B0}" name="Description"/>
    <tableColumn id="4" xr3:uid="{7EB1321E-0FB7-43A3-AE61-579915C6FE20}" name="Color"/>
    <tableColumn id="5" xr3:uid="{531E13E4-F34E-44AA-9A7D-338ABC5D8C38}" name="Qty" dataDxfId="26" totalsRowDxfId="25"/>
    <tableColumn id="6" xr3:uid="{B54298CA-CBB2-40E9-9658-FBF2846498B7}" name="Unit Cost" dataDxfId="24" totalsRowDxfId="23" dataCellStyle="Currency" totalsRowCellStyle="Currency"/>
    <tableColumn id="7" xr3:uid="{562A1FFA-1AA0-42C4-A8F6-431880FD3008}" name="Total Cost" totalsRowFunction="sum" dataDxfId="22" totalsRowDxfId="21">
      <calculatedColumnFormula>+Table2[[#This Row],[Qty]]*Table2[[#This Row],[Unit Cost]]</calculatedColumnFormula>
    </tableColumn>
  </tableColumns>
  <tableStyleInfo name="TableStyleMedium15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323A2FB-F507-4F73-87AD-A602B4BE69C6}" name="Table3" displayName="Table3" ref="B39:H53" totalsRowCount="1" headerRowDxfId="20">
  <autoFilter ref="B39:H52" xr:uid="{2323A2FB-F507-4F73-87AD-A602B4BE69C6}"/>
  <tableColumns count="7">
    <tableColumn id="1" xr3:uid="{FA3FD21C-28F7-4FD9-AA56-36425A811CCE}" name="Element ID" dataDxfId="19" totalsRowDxfId="18"/>
    <tableColumn id="2" xr3:uid="{BB5D0A1A-EE85-46A9-8339-7C538B6992C1}" name="Design ID" dataDxfId="17" totalsRowDxfId="16"/>
    <tableColumn id="3" xr3:uid="{85436375-D43D-4635-9FD7-343CBD5FD861}" name="Description"/>
    <tableColumn id="4" xr3:uid="{903FE50B-1310-48FC-B262-A9174D101873}" name="Color"/>
    <tableColumn id="5" xr3:uid="{68D4AA07-6E8B-47D6-8BDE-7872AEFE65BA}" name="Qty" dataDxfId="15" totalsRowDxfId="14"/>
    <tableColumn id="6" xr3:uid="{CC3BC5E7-C0A2-47AB-8B4C-7CD8D6134E54}" name="Unit Cost" dataDxfId="13" totalsRowDxfId="12" dataCellStyle="Currency" totalsRowCellStyle="Currency"/>
    <tableColumn id="7" xr3:uid="{18778AC3-8B1B-4431-A439-1DBF5DC635D1}" name="Total Cost" totalsRowFunction="sum" totalsRowDxfId="11" dataCellStyle="Currency" totalsRowCellStyle="Currency">
      <calculatedColumnFormula>+F40*G40</calculatedColumnFormula>
    </tableColumn>
  </tableColumns>
  <tableStyleInfo name="TableStyleMedium15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B15000B-C80C-4FAD-949F-AB73D2A1A9B8}" name="Table4" displayName="Table4" ref="B62:H71" totalsRowCount="1" headerRowDxfId="10">
  <autoFilter ref="B62:H70" xr:uid="{1B15000B-C80C-4FAD-949F-AB73D2A1A9B8}"/>
  <tableColumns count="7">
    <tableColumn id="1" xr3:uid="{DAFCF0FF-D9BF-4CEF-834B-3406E64AD0D1}" name="Element ID" dataDxfId="9" totalsRowDxfId="8"/>
    <tableColumn id="2" xr3:uid="{73C9EAF7-C709-4AD0-AFC7-0D169ABA564F}" name="Design ID" dataDxfId="7" totalsRowDxfId="6"/>
    <tableColumn id="3" xr3:uid="{F6DD72BB-F286-4FDA-BDEF-67639D93CFC4}" name="Description"/>
    <tableColumn id="4" xr3:uid="{8DB7E819-EA02-4F03-843C-FDAA6A0583FD}" name="Color"/>
    <tableColumn id="5" xr3:uid="{6C4FC6E9-D7B0-451F-AB3D-2BEE180A3DB1}" name="Qty" dataDxfId="5" totalsRowDxfId="4"/>
    <tableColumn id="6" xr3:uid="{7ED7C766-980B-4488-98FB-2D4156B57C18}" name="Unit Cost" dataDxfId="3" totalsRowDxfId="2" dataCellStyle="Currency" totalsRowCellStyle="Currency"/>
    <tableColumn id="7" xr3:uid="{7D4587FC-F9C3-4F92-B73A-59C29101E5F1}" name="Total Cost" totalsRowFunction="sum" dataDxfId="1" totalsRowDxfId="0" dataCellStyle="Currency" totalsRowCellStyle="Currency">
      <calculatedColumnFormula>+F63*G63</calculatedColumnFormula>
    </tableColumn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amazon.com/Pioneer-Photo-Albums-B-1BLK-Storage/dp/B000P187PY" TargetMode="External"/><Relationship Id="rId13" Type="http://schemas.openxmlformats.org/officeDocument/2006/relationships/table" Target="../tables/table2.xml"/><Relationship Id="rId3" Type="http://schemas.openxmlformats.org/officeDocument/2006/relationships/hyperlink" Target="https://www.amazon.com/gp/product/B0749KGY81" TargetMode="External"/><Relationship Id="rId7" Type="http://schemas.openxmlformats.org/officeDocument/2006/relationships/hyperlink" Target="https://www.amazon.com/gp/product/B00TYX5PHW" TargetMode="External"/><Relationship Id="rId12" Type="http://schemas.openxmlformats.org/officeDocument/2006/relationships/table" Target="../tables/table1.xml"/><Relationship Id="rId2" Type="http://schemas.openxmlformats.org/officeDocument/2006/relationships/hyperlink" Target="https://www.amazon.com/gp/product/B004W0MSWM" TargetMode="External"/><Relationship Id="rId1" Type="http://schemas.openxmlformats.org/officeDocument/2006/relationships/hyperlink" Target="https://www.lego.com/en-us/page/static/pick-a-brick" TargetMode="External"/><Relationship Id="rId6" Type="http://schemas.openxmlformats.org/officeDocument/2006/relationships/hyperlink" Target="https://www.sparkfun.com/products/14429" TargetMode="External"/><Relationship Id="rId11" Type="http://schemas.openxmlformats.org/officeDocument/2006/relationships/printerSettings" Target="../printerSettings/printerSettings1.bin"/><Relationship Id="rId5" Type="http://schemas.openxmlformats.org/officeDocument/2006/relationships/hyperlink" Target="https://www.sparkfun.com/products/15050" TargetMode="External"/><Relationship Id="rId15" Type="http://schemas.openxmlformats.org/officeDocument/2006/relationships/table" Target="../tables/table4.xml"/><Relationship Id="rId10" Type="http://schemas.openxmlformats.org/officeDocument/2006/relationships/hyperlink" Target="https://www.amazon.com/gp/product/B000796XXM" TargetMode="External"/><Relationship Id="rId4" Type="http://schemas.openxmlformats.org/officeDocument/2006/relationships/hyperlink" Target="https://www.ebay.com/itm/254420291231" TargetMode="External"/><Relationship Id="rId9" Type="http://schemas.openxmlformats.org/officeDocument/2006/relationships/hyperlink" Target="https://www.amazon.com/30-Enhancing-Projector-ConClarity-Brightens/dp/B073C6VQPC" TargetMode="External"/><Relationship Id="rId14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7AB3C2-C500-46AF-BB74-509C61346243}">
  <dimension ref="B1:H74"/>
  <sheetViews>
    <sheetView tabSelected="1" workbookViewId="0">
      <selection activeCell="B1" sqref="B1"/>
    </sheetView>
  </sheetViews>
  <sheetFormatPr defaultRowHeight="15" x14ac:dyDescent="0.25"/>
  <cols>
    <col min="2" max="3" width="18.42578125" customWidth="1"/>
    <col min="4" max="4" width="44.140625" customWidth="1"/>
    <col min="5" max="5" width="29" customWidth="1"/>
    <col min="6" max="6" width="9.140625" style="7"/>
    <col min="7" max="7" width="15.7109375" style="7" customWidth="1"/>
    <col min="8" max="8" width="15.7109375" customWidth="1"/>
  </cols>
  <sheetData>
    <row r="1" spans="2:8" x14ac:dyDescent="0.25">
      <c r="B1" s="4" t="s">
        <v>58</v>
      </c>
    </row>
    <row r="2" spans="2:8" x14ac:dyDescent="0.25">
      <c r="C2" s="2" t="s">
        <v>2</v>
      </c>
    </row>
    <row r="4" spans="2:8" x14ac:dyDescent="0.25">
      <c r="B4" s="4" t="s">
        <v>57</v>
      </c>
    </row>
    <row r="5" spans="2:8" x14ac:dyDescent="0.25">
      <c r="C5" s="2" t="s">
        <v>22</v>
      </c>
      <c r="E5" s="13">
        <v>56.77</v>
      </c>
    </row>
    <row r="6" spans="2:8" x14ac:dyDescent="0.25">
      <c r="C6" s="2" t="s">
        <v>53</v>
      </c>
      <c r="E6" s="13">
        <v>39.950000000000003</v>
      </c>
    </row>
    <row r="7" spans="2:8" x14ac:dyDescent="0.25">
      <c r="C7" s="6" t="s">
        <v>23</v>
      </c>
      <c r="E7" s="13">
        <v>19.95</v>
      </c>
    </row>
    <row r="8" spans="2:8" x14ac:dyDescent="0.25">
      <c r="C8" s="2" t="s">
        <v>21</v>
      </c>
      <c r="E8" s="13">
        <v>34.99</v>
      </c>
    </row>
    <row r="10" spans="2:8" x14ac:dyDescent="0.25">
      <c r="B10" s="4" t="s">
        <v>55</v>
      </c>
    </row>
    <row r="11" spans="2:8" x14ac:dyDescent="0.25">
      <c r="B11" s="4" t="s">
        <v>11</v>
      </c>
      <c r="C11" s="4" t="s">
        <v>12</v>
      </c>
      <c r="D11" s="4" t="s">
        <v>1</v>
      </c>
      <c r="E11" s="4" t="s">
        <v>5</v>
      </c>
      <c r="F11" s="8" t="s">
        <v>3</v>
      </c>
      <c r="G11" s="8" t="s">
        <v>38</v>
      </c>
      <c r="H11" s="8" t="s">
        <v>39</v>
      </c>
    </row>
    <row r="12" spans="2:8" x14ac:dyDescent="0.25">
      <c r="B12" s="1">
        <v>4211405</v>
      </c>
      <c r="C12" s="1">
        <v>3033</v>
      </c>
      <c r="D12" t="s">
        <v>0</v>
      </c>
      <c r="E12" t="s">
        <v>7</v>
      </c>
      <c r="F12" s="7">
        <v>1</v>
      </c>
      <c r="G12" s="10">
        <v>0.86</v>
      </c>
      <c r="H12" s="11">
        <f>+Table1[[#This Row],[Qty]]*Table1[[#This Row],[Unit Cost]]</f>
        <v>0.86</v>
      </c>
    </row>
    <row r="13" spans="2:8" x14ac:dyDescent="0.25">
      <c r="B13" s="1">
        <v>303226</v>
      </c>
      <c r="C13" s="1">
        <v>3032</v>
      </c>
      <c r="D13" t="s">
        <v>4</v>
      </c>
      <c r="E13" t="s">
        <v>6</v>
      </c>
      <c r="F13" s="7">
        <v>1</v>
      </c>
      <c r="G13" s="10">
        <v>0.43</v>
      </c>
      <c r="H13" s="11">
        <f>+Table1[[#This Row],[Qty]]*Table1[[#This Row],[Unit Cost]]</f>
        <v>0.43</v>
      </c>
    </row>
    <row r="14" spans="2:8" x14ac:dyDescent="0.25">
      <c r="B14" s="1">
        <v>389426</v>
      </c>
      <c r="C14" s="1">
        <v>3894</v>
      </c>
      <c r="D14" t="s">
        <v>15</v>
      </c>
      <c r="E14" s="12" t="s">
        <v>6</v>
      </c>
      <c r="F14" s="7">
        <v>3</v>
      </c>
      <c r="G14" s="10">
        <v>0.3</v>
      </c>
      <c r="H14" s="11">
        <f>+Table1[[#This Row],[Qty]]*Table1[[#This Row],[Unit Cost]]</f>
        <v>0.89999999999999991</v>
      </c>
    </row>
    <row r="15" spans="2:8" x14ac:dyDescent="0.25">
      <c r="B15" s="1">
        <v>4211438</v>
      </c>
      <c r="C15" s="1">
        <v>3666</v>
      </c>
      <c r="D15" t="s">
        <v>8</v>
      </c>
      <c r="E15" t="s">
        <v>7</v>
      </c>
      <c r="F15" s="7">
        <v>2</v>
      </c>
      <c r="G15" s="10">
        <v>0.14000000000000001</v>
      </c>
      <c r="H15" s="11">
        <f>+Table1[[#This Row],[Qty]]*Table1[[#This Row],[Unit Cost]]</f>
        <v>0.28000000000000003</v>
      </c>
    </row>
    <row r="16" spans="2:8" x14ac:dyDescent="0.25">
      <c r="B16" s="1">
        <v>4213607</v>
      </c>
      <c r="C16" s="1">
        <v>3701</v>
      </c>
      <c r="D16" t="s">
        <v>9</v>
      </c>
      <c r="E16" s="12" t="s">
        <v>10</v>
      </c>
      <c r="F16" s="7">
        <v>2</v>
      </c>
      <c r="G16" s="10">
        <v>0.18</v>
      </c>
      <c r="H16" s="11">
        <f>+Table1[[#This Row],[Qty]]*Table1[[#This Row],[Unit Cost]]</f>
        <v>0.36</v>
      </c>
    </row>
    <row r="17" spans="2:8" x14ac:dyDescent="0.25">
      <c r="B17" s="1">
        <v>4159774</v>
      </c>
      <c r="C17" s="1">
        <v>3008</v>
      </c>
      <c r="D17" t="s">
        <v>14</v>
      </c>
      <c r="E17" t="s">
        <v>13</v>
      </c>
      <c r="F17" s="7">
        <v>1</v>
      </c>
      <c r="G17" s="10">
        <v>0.28999999999999998</v>
      </c>
      <c r="H17" s="11">
        <f>+Table1[[#This Row],[Qty]]*Table1[[#This Row],[Unit Cost]]</f>
        <v>0.28999999999999998</v>
      </c>
    </row>
    <row r="18" spans="2:8" x14ac:dyDescent="0.25">
      <c r="B18" s="1">
        <v>4243814</v>
      </c>
      <c r="C18" s="1">
        <v>3031</v>
      </c>
      <c r="D18" t="s">
        <v>16</v>
      </c>
      <c r="E18" t="s">
        <v>17</v>
      </c>
      <c r="F18" s="7">
        <v>1</v>
      </c>
      <c r="G18" s="10">
        <v>0.21</v>
      </c>
      <c r="H18" s="11">
        <f>+Table1[[#This Row],[Qty]]*Table1[[#This Row],[Unit Cost]]</f>
        <v>0.21</v>
      </c>
    </row>
    <row r="19" spans="2:8" x14ac:dyDescent="0.25">
      <c r="B19" s="1">
        <v>300421</v>
      </c>
      <c r="C19" s="1">
        <v>3004</v>
      </c>
      <c r="D19" t="s">
        <v>18</v>
      </c>
      <c r="E19" t="s">
        <v>17</v>
      </c>
      <c r="F19" s="7">
        <v>2</v>
      </c>
      <c r="G19" s="10">
        <v>0.11</v>
      </c>
      <c r="H19" s="11">
        <f>+Table1[[#This Row],[Qty]]*Table1[[#This Row],[Unit Cost]]</f>
        <v>0.22</v>
      </c>
    </row>
    <row r="20" spans="2:8" x14ac:dyDescent="0.25">
      <c r="B20" s="1">
        <v>362321</v>
      </c>
      <c r="C20" s="1">
        <v>3623</v>
      </c>
      <c r="D20" t="s">
        <v>19</v>
      </c>
      <c r="E20" t="s">
        <v>17</v>
      </c>
      <c r="F20" s="7">
        <v>2</v>
      </c>
      <c r="G20" s="10">
        <v>7.0000000000000007E-2</v>
      </c>
      <c r="H20" s="11">
        <f>+Table1[[#This Row],[Qty]]*Table1[[#This Row],[Unit Cost]]</f>
        <v>0.14000000000000001</v>
      </c>
    </row>
    <row r="21" spans="2:8" x14ac:dyDescent="0.25">
      <c r="B21" s="1">
        <v>4211807</v>
      </c>
      <c r="C21" s="1">
        <v>3673</v>
      </c>
      <c r="D21" t="s">
        <v>20</v>
      </c>
      <c r="E21" t="s">
        <v>7</v>
      </c>
      <c r="F21" s="7">
        <v>1</v>
      </c>
      <c r="G21" s="10">
        <v>0.06</v>
      </c>
      <c r="H21" s="11">
        <f>+Table1[[#This Row],[Qty]]*Table1[[#This Row],[Unit Cost]]</f>
        <v>0.06</v>
      </c>
    </row>
    <row r="22" spans="2:8" x14ac:dyDescent="0.25">
      <c r="B22" s="1"/>
      <c r="C22" s="1"/>
      <c r="G22" s="10"/>
      <c r="H22" s="14">
        <f>SUBTOTAL(109,Table1[Total Cost])</f>
        <v>3.75</v>
      </c>
    </row>
    <row r="23" spans="2:8" x14ac:dyDescent="0.25">
      <c r="B23" s="1"/>
      <c r="C23" s="1"/>
      <c r="G23" s="10"/>
    </row>
    <row r="24" spans="2:8" x14ac:dyDescent="0.25">
      <c r="B24" s="5" t="s">
        <v>54</v>
      </c>
    </row>
    <row r="25" spans="2:8" x14ac:dyDescent="0.25">
      <c r="B25" s="4" t="s">
        <v>11</v>
      </c>
      <c r="C25" s="4" t="s">
        <v>12</v>
      </c>
      <c r="D25" s="4" t="s">
        <v>1</v>
      </c>
      <c r="E25" s="4" t="s">
        <v>5</v>
      </c>
      <c r="F25" s="8" t="s">
        <v>3</v>
      </c>
      <c r="G25" s="8" t="s">
        <v>38</v>
      </c>
      <c r="H25" s="8" t="s">
        <v>39</v>
      </c>
    </row>
    <row r="26" spans="2:8" x14ac:dyDescent="0.25">
      <c r="B26" s="1">
        <v>4211401</v>
      </c>
      <c r="C26" s="1">
        <v>3029</v>
      </c>
      <c r="D26" t="s">
        <v>24</v>
      </c>
      <c r="E26" t="s">
        <v>7</v>
      </c>
      <c r="F26" s="7">
        <v>2</v>
      </c>
      <c r="G26" s="10">
        <v>0.7</v>
      </c>
      <c r="H26" s="11">
        <f>+Table2[[#This Row],[Qty]]*Table2[[#This Row],[Unit Cost]]</f>
        <v>1.4</v>
      </c>
    </row>
    <row r="27" spans="2:8" x14ac:dyDescent="0.25">
      <c r="B27" s="1">
        <v>4159774</v>
      </c>
      <c r="C27" s="1">
        <v>3008</v>
      </c>
      <c r="D27" t="s">
        <v>14</v>
      </c>
      <c r="E27" t="s">
        <v>13</v>
      </c>
      <c r="F27" s="7">
        <v>1</v>
      </c>
      <c r="G27" s="10">
        <v>0.28999999999999998</v>
      </c>
      <c r="H27" s="11">
        <f>+Table2[[#This Row],[Qty]]*Table2[[#This Row],[Unit Cost]]</f>
        <v>0.28999999999999998</v>
      </c>
    </row>
    <row r="28" spans="2:8" x14ac:dyDescent="0.25">
      <c r="B28" s="1">
        <v>303226</v>
      </c>
      <c r="C28" s="1">
        <v>3032</v>
      </c>
      <c r="D28" t="s">
        <v>4</v>
      </c>
      <c r="E28" t="s">
        <v>6</v>
      </c>
      <c r="F28" s="7">
        <v>1</v>
      </c>
      <c r="G28" s="10">
        <v>0.43</v>
      </c>
      <c r="H28" s="11">
        <f>+Table2[[#This Row],[Qty]]*Table2[[#This Row],[Unit Cost]]</f>
        <v>0.43</v>
      </c>
    </row>
    <row r="29" spans="2:8" x14ac:dyDescent="0.25">
      <c r="B29" s="1">
        <v>6037399</v>
      </c>
      <c r="C29" s="1">
        <v>93888</v>
      </c>
      <c r="D29" t="s">
        <v>25</v>
      </c>
      <c r="E29" t="s">
        <v>7</v>
      </c>
      <c r="F29" s="7">
        <v>6</v>
      </c>
      <c r="G29" s="10">
        <v>0.36</v>
      </c>
      <c r="H29" s="11">
        <f>+Table2[[#This Row],[Qty]]*Table2[[#This Row],[Unit Cost]]</f>
        <v>2.16</v>
      </c>
    </row>
    <row r="30" spans="2:8" x14ac:dyDescent="0.25">
      <c r="B30" s="1">
        <v>303201</v>
      </c>
      <c r="C30" s="1">
        <v>3032</v>
      </c>
      <c r="D30" t="s">
        <v>26</v>
      </c>
      <c r="E30" t="s">
        <v>27</v>
      </c>
      <c r="F30" s="7">
        <v>2</v>
      </c>
      <c r="G30" s="10">
        <v>0.43</v>
      </c>
      <c r="H30" s="11">
        <f>+Table2[[#This Row],[Qty]]*Table2[[#This Row],[Unit Cost]]</f>
        <v>0.86</v>
      </c>
    </row>
    <row r="31" spans="2:8" x14ac:dyDescent="0.25">
      <c r="B31" s="1">
        <v>379501</v>
      </c>
      <c r="C31" s="1">
        <v>3795</v>
      </c>
      <c r="D31" t="s">
        <v>28</v>
      </c>
      <c r="E31" t="s">
        <v>27</v>
      </c>
      <c r="F31" s="7">
        <v>2</v>
      </c>
      <c r="G31" s="10">
        <v>0.19</v>
      </c>
      <c r="H31" s="11">
        <f>+Table2[[#This Row],[Qty]]*Table2[[#This Row],[Unit Cost]]</f>
        <v>0.38</v>
      </c>
    </row>
    <row r="32" spans="2:8" x14ac:dyDescent="0.25">
      <c r="B32" s="1">
        <v>301001</v>
      </c>
      <c r="C32" s="1">
        <v>3010</v>
      </c>
      <c r="D32" t="s">
        <v>29</v>
      </c>
      <c r="E32" t="s">
        <v>27</v>
      </c>
      <c r="F32" s="7">
        <v>2</v>
      </c>
      <c r="G32" s="10">
        <v>0.15</v>
      </c>
      <c r="H32" s="11">
        <f>+Table2[[#This Row],[Qty]]*Table2[[#This Row],[Unit Cost]]</f>
        <v>0.3</v>
      </c>
    </row>
    <row r="33" spans="2:8" x14ac:dyDescent="0.25">
      <c r="B33" s="1">
        <v>4211137</v>
      </c>
      <c r="C33" s="1">
        <v>32018</v>
      </c>
      <c r="D33" t="s">
        <v>30</v>
      </c>
      <c r="E33" t="s">
        <v>10</v>
      </c>
      <c r="F33" s="7">
        <v>2</v>
      </c>
      <c r="G33" s="10">
        <v>0.52</v>
      </c>
      <c r="H33" s="11">
        <f>+Table2[[#This Row],[Qty]]*Table2[[#This Row],[Unit Cost]]</f>
        <v>1.04</v>
      </c>
    </row>
    <row r="34" spans="2:8" x14ac:dyDescent="0.25">
      <c r="B34" s="1">
        <v>4211400</v>
      </c>
      <c r="C34" s="1">
        <v>3028</v>
      </c>
      <c r="D34" t="s">
        <v>31</v>
      </c>
      <c r="E34" t="s">
        <v>7</v>
      </c>
      <c r="F34" s="7">
        <v>1</v>
      </c>
      <c r="G34" s="10">
        <v>1.34</v>
      </c>
      <c r="H34" s="11">
        <f>+Table2[[#This Row],[Qty]]*Table2[[#This Row],[Unit Cost]]</f>
        <v>1.34</v>
      </c>
    </row>
    <row r="35" spans="2:8" x14ac:dyDescent="0.25">
      <c r="B35" s="1">
        <v>4211452</v>
      </c>
      <c r="C35" s="1">
        <v>3795</v>
      </c>
      <c r="D35" t="s">
        <v>28</v>
      </c>
      <c r="E35" t="s">
        <v>7</v>
      </c>
      <c r="F35" s="7">
        <v>1</v>
      </c>
      <c r="G35" s="10">
        <v>0.19</v>
      </c>
      <c r="H35" s="11">
        <f>+Table2[[#This Row],[Qty]]*Table2[[#This Row],[Unit Cost]]</f>
        <v>0.19</v>
      </c>
    </row>
    <row r="36" spans="2:8" x14ac:dyDescent="0.25">
      <c r="B36" s="1"/>
      <c r="C36" s="1"/>
      <c r="G36" s="10"/>
      <c r="H36" s="14">
        <f>SUBTOTAL(109,Table2[Total Cost])</f>
        <v>8.39</v>
      </c>
    </row>
    <row r="37" spans="2:8" x14ac:dyDescent="0.25">
      <c r="B37" s="1"/>
      <c r="C37" s="1"/>
      <c r="G37" s="10"/>
    </row>
    <row r="38" spans="2:8" x14ac:dyDescent="0.25">
      <c r="B38" s="5" t="s">
        <v>56</v>
      </c>
    </row>
    <row r="39" spans="2:8" x14ac:dyDescent="0.25">
      <c r="B39" s="4" t="s">
        <v>11</v>
      </c>
      <c r="C39" s="4" t="s">
        <v>12</v>
      </c>
      <c r="D39" s="4" t="s">
        <v>1</v>
      </c>
      <c r="E39" s="4" t="s">
        <v>5</v>
      </c>
      <c r="F39" s="8" t="s">
        <v>3</v>
      </c>
      <c r="G39" s="8" t="s">
        <v>38</v>
      </c>
      <c r="H39" s="8" t="s">
        <v>39</v>
      </c>
    </row>
    <row r="40" spans="2:8" x14ac:dyDescent="0.25">
      <c r="B40" s="1">
        <v>4211400</v>
      </c>
      <c r="C40" s="1">
        <v>3028</v>
      </c>
      <c r="D40" t="s">
        <v>31</v>
      </c>
      <c r="E40" t="s">
        <v>7</v>
      </c>
      <c r="F40" s="7">
        <v>2</v>
      </c>
      <c r="G40" s="9">
        <v>1.34</v>
      </c>
      <c r="H40" s="3">
        <f>+F40*G40</f>
        <v>2.68</v>
      </c>
    </row>
    <row r="41" spans="2:8" x14ac:dyDescent="0.25">
      <c r="B41" s="1">
        <v>4243797</v>
      </c>
      <c r="C41" s="1">
        <v>3031</v>
      </c>
      <c r="D41" t="s">
        <v>16</v>
      </c>
      <c r="E41" t="s">
        <v>7</v>
      </c>
      <c r="F41" s="7">
        <v>2</v>
      </c>
      <c r="G41" s="9">
        <v>0.21</v>
      </c>
      <c r="H41" s="3">
        <f t="shared" ref="H41:H52" si="0">+F41*G41</f>
        <v>0.42</v>
      </c>
    </row>
    <row r="42" spans="2:8" x14ac:dyDescent="0.25">
      <c r="B42" s="1">
        <v>4211860</v>
      </c>
      <c r="C42" s="1">
        <v>3895</v>
      </c>
      <c r="D42" t="s">
        <v>32</v>
      </c>
      <c r="E42" t="s">
        <v>7</v>
      </c>
      <c r="F42" s="7">
        <v>4</v>
      </c>
      <c r="G42" s="9">
        <v>0.64</v>
      </c>
      <c r="H42" s="3">
        <f t="shared" si="0"/>
        <v>2.56</v>
      </c>
    </row>
    <row r="43" spans="2:8" x14ac:dyDescent="0.25">
      <c r="B43" s="1">
        <v>4211137</v>
      </c>
      <c r="C43" s="1">
        <v>32018</v>
      </c>
      <c r="D43" t="s">
        <v>30</v>
      </c>
      <c r="E43" t="s">
        <v>10</v>
      </c>
      <c r="F43" s="7">
        <v>2</v>
      </c>
      <c r="G43" s="9">
        <v>0.52</v>
      </c>
      <c r="H43" s="3">
        <f t="shared" si="0"/>
        <v>1.04</v>
      </c>
    </row>
    <row r="44" spans="2:8" x14ac:dyDescent="0.25">
      <c r="B44" s="1">
        <v>370326</v>
      </c>
      <c r="C44" s="1">
        <v>3703</v>
      </c>
      <c r="D44" t="s">
        <v>33</v>
      </c>
      <c r="E44" t="s">
        <v>6</v>
      </c>
      <c r="F44" s="7">
        <v>2</v>
      </c>
      <c r="G44" s="9">
        <v>0.79</v>
      </c>
      <c r="H44" s="3">
        <f t="shared" si="0"/>
        <v>1.58</v>
      </c>
    </row>
    <row r="45" spans="2:8" x14ac:dyDescent="0.25">
      <c r="B45" s="1">
        <v>4211385</v>
      </c>
      <c r="C45" s="1">
        <v>3001</v>
      </c>
      <c r="D45" t="s">
        <v>34</v>
      </c>
      <c r="E45" t="s">
        <v>7</v>
      </c>
      <c r="F45" s="7">
        <v>4</v>
      </c>
      <c r="G45" s="9">
        <v>0.21</v>
      </c>
      <c r="H45" s="3">
        <f t="shared" si="0"/>
        <v>0.84</v>
      </c>
    </row>
    <row r="46" spans="2:8" x14ac:dyDescent="0.25">
      <c r="B46" s="1">
        <v>4211406</v>
      </c>
      <c r="C46" s="1">
        <v>3034</v>
      </c>
      <c r="D46" t="s">
        <v>35</v>
      </c>
      <c r="E46" t="s">
        <v>7</v>
      </c>
      <c r="F46" s="7">
        <v>2</v>
      </c>
      <c r="G46" s="9">
        <v>0.25</v>
      </c>
      <c r="H46" s="3">
        <f t="shared" si="0"/>
        <v>0.5</v>
      </c>
    </row>
    <row r="47" spans="2:8" x14ac:dyDescent="0.25">
      <c r="B47" s="1">
        <v>4211425</v>
      </c>
      <c r="C47" s="1">
        <v>3460</v>
      </c>
      <c r="D47" t="s">
        <v>36</v>
      </c>
      <c r="E47" t="s">
        <v>7</v>
      </c>
      <c r="F47" s="7">
        <v>2</v>
      </c>
      <c r="G47" s="9">
        <v>0.18</v>
      </c>
      <c r="H47" s="3">
        <f t="shared" si="0"/>
        <v>0.36</v>
      </c>
    </row>
    <row r="48" spans="2:8" x14ac:dyDescent="0.25">
      <c r="B48" s="1">
        <v>300826</v>
      </c>
      <c r="C48" s="1">
        <v>3008</v>
      </c>
      <c r="D48" t="s">
        <v>14</v>
      </c>
      <c r="E48" t="s">
        <v>6</v>
      </c>
      <c r="F48" s="7">
        <v>2</v>
      </c>
      <c r="G48" s="9">
        <v>0.28999999999999998</v>
      </c>
      <c r="H48" s="3">
        <f t="shared" si="0"/>
        <v>0.57999999999999996</v>
      </c>
    </row>
    <row r="49" spans="2:8" x14ac:dyDescent="0.25">
      <c r="B49" s="1">
        <v>4211442</v>
      </c>
      <c r="C49" s="1">
        <v>3702</v>
      </c>
      <c r="D49" t="s">
        <v>37</v>
      </c>
      <c r="E49" t="s">
        <v>7</v>
      </c>
      <c r="F49" s="7">
        <v>8</v>
      </c>
      <c r="G49" s="9">
        <v>0.36</v>
      </c>
      <c r="H49" s="3">
        <f t="shared" si="0"/>
        <v>2.88</v>
      </c>
    </row>
    <row r="50" spans="2:8" x14ac:dyDescent="0.25">
      <c r="B50" s="1">
        <v>302121</v>
      </c>
      <c r="C50" s="1">
        <v>3021</v>
      </c>
      <c r="D50" t="s">
        <v>40</v>
      </c>
      <c r="E50" t="s">
        <v>17</v>
      </c>
      <c r="F50" s="7">
        <v>1</v>
      </c>
      <c r="G50" s="9">
        <v>0.14000000000000001</v>
      </c>
      <c r="H50" s="3">
        <f t="shared" si="0"/>
        <v>0.14000000000000001</v>
      </c>
    </row>
    <row r="51" spans="2:8" x14ac:dyDescent="0.25">
      <c r="B51" s="1">
        <v>303424</v>
      </c>
      <c r="C51" s="1">
        <v>3034</v>
      </c>
      <c r="D51" t="s">
        <v>35</v>
      </c>
      <c r="E51" t="s">
        <v>41</v>
      </c>
      <c r="F51" s="7">
        <v>1</v>
      </c>
      <c r="G51" s="9">
        <v>0.25</v>
      </c>
      <c r="H51" s="3">
        <f t="shared" si="0"/>
        <v>0.25</v>
      </c>
    </row>
    <row r="52" spans="2:8" x14ac:dyDescent="0.25">
      <c r="B52" s="1">
        <v>244526</v>
      </c>
      <c r="C52" s="1">
        <v>2445</v>
      </c>
      <c r="D52" t="s">
        <v>42</v>
      </c>
      <c r="E52" t="s">
        <v>6</v>
      </c>
      <c r="F52" s="7">
        <v>1</v>
      </c>
      <c r="G52" s="9">
        <v>0.35</v>
      </c>
      <c r="H52" s="3">
        <f t="shared" si="0"/>
        <v>0.35</v>
      </c>
    </row>
    <row r="53" spans="2:8" x14ac:dyDescent="0.25">
      <c r="B53" s="1"/>
      <c r="C53" s="1"/>
      <c r="G53" s="9"/>
      <c r="H53" s="3">
        <f>SUBTOTAL(109,Table3[Total Cost])</f>
        <v>14.180000000000001</v>
      </c>
    </row>
    <row r="56" spans="2:8" x14ac:dyDescent="0.25">
      <c r="B56" s="4" t="s">
        <v>59</v>
      </c>
    </row>
    <row r="57" spans="2:8" x14ac:dyDescent="0.25">
      <c r="C57" s="2" t="s">
        <v>43</v>
      </c>
      <c r="E57" s="13">
        <v>64.95</v>
      </c>
    </row>
    <row r="58" spans="2:8" x14ac:dyDescent="0.25">
      <c r="C58" s="2" t="s">
        <v>44</v>
      </c>
      <c r="E58" s="13">
        <v>1.95</v>
      </c>
    </row>
    <row r="59" spans="2:8" x14ac:dyDescent="0.25">
      <c r="C59" s="2" t="s">
        <v>45</v>
      </c>
      <c r="E59" s="13">
        <v>32.1</v>
      </c>
    </row>
    <row r="60" spans="2:8" x14ac:dyDescent="0.25">
      <c r="C60" s="2" t="s">
        <v>46</v>
      </c>
      <c r="E60" s="13">
        <v>7.12</v>
      </c>
    </row>
    <row r="61" spans="2:8" x14ac:dyDescent="0.25">
      <c r="C61" s="2" t="s">
        <v>47</v>
      </c>
      <c r="E61" s="13">
        <v>28.95</v>
      </c>
    </row>
    <row r="62" spans="2:8" x14ac:dyDescent="0.25">
      <c r="B62" t="s">
        <v>11</v>
      </c>
      <c r="C62" t="s">
        <v>12</v>
      </c>
      <c r="D62" t="s">
        <v>1</v>
      </c>
      <c r="E62" t="s">
        <v>5</v>
      </c>
      <c r="F62" s="7" t="s">
        <v>3</v>
      </c>
      <c r="G62" s="7" t="s">
        <v>38</v>
      </c>
      <c r="H62" s="7" t="s">
        <v>39</v>
      </c>
    </row>
    <row r="63" spans="2:8" x14ac:dyDescent="0.25">
      <c r="B63" s="1">
        <v>300326</v>
      </c>
      <c r="C63" s="1">
        <v>3003</v>
      </c>
      <c r="D63" t="s">
        <v>48</v>
      </c>
      <c r="E63" t="s">
        <v>6</v>
      </c>
      <c r="F63" s="7">
        <v>10</v>
      </c>
      <c r="G63" s="10">
        <v>0.14000000000000001</v>
      </c>
      <c r="H63" s="3">
        <f>+F63*G63</f>
        <v>1.4000000000000001</v>
      </c>
    </row>
    <row r="64" spans="2:8" x14ac:dyDescent="0.25">
      <c r="B64" s="1">
        <v>300226</v>
      </c>
      <c r="C64" s="1">
        <v>3002</v>
      </c>
      <c r="D64" t="s">
        <v>49</v>
      </c>
      <c r="E64" t="s">
        <v>6</v>
      </c>
      <c r="F64" s="7">
        <v>2</v>
      </c>
      <c r="G64" s="10">
        <v>0.17</v>
      </c>
      <c r="H64" s="3">
        <f t="shared" ref="H64:H70" si="1">+F64*G64</f>
        <v>0.34</v>
      </c>
    </row>
    <row r="65" spans="2:8" x14ac:dyDescent="0.25">
      <c r="B65" s="1">
        <v>300926</v>
      </c>
      <c r="C65" s="1">
        <v>3009</v>
      </c>
      <c r="D65" t="s">
        <v>50</v>
      </c>
      <c r="E65" t="s">
        <v>6</v>
      </c>
      <c r="F65" s="7">
        <v>3</v>
      </c>
      <c r="G65" s="10">
        <v>0.25</v>
      </c>
      <c r="H65" s="3">
        <f t="shared" si="1"/>
        <v>0.75</v>
      </c>
    </row>
    <row r="66" spans="2:8" x14ac:dyDescent="0.25">
      <c r="B66" s="1">
        <v>300426</v>
      </c>
      <c r="C66" s="1">
        <v>3004</v>
      </c>
      <c r="D66" t="s">
        <v>18</v>
      </c>
      <c r="E66" t="s">
        <v>6</v>
      </c>
      <c r="F66" s="7">
        <v>2</v>
      </c>
      <c r="G66" s="10">
        <v>0.11</v>
      </c>
      <c r="H66" s="3">
        <f t="shared" si="1"/>
        <v>0.22</v>
      </c>
    </row>
    <row r="67" spans="2:8" x14ac:dyDescent="0.25">
      <c r="B67" s="1">
        <v>303226</v>
      </c>
      <c r="C67" s="1">
        <v>3032</v>
      </c>
      <c r="D67" t="s">
        <v>26</v>
      </c>
      <c r="E67" t="s">
        <v>6</v>
      </c>
      <c r="F67" s="7">
        <v>1</v>
      </c>
      <c r="G67" s="10">
        <v>0.43</v>
      </c>
      <c r="H67" s="3">
        <f t="shared" si="1"/>
        <v>0.43</v>
      </c>
    </row>
    <row r="68" spans="2:8" x14ac:dyDescent="0.25">
      <c r="B68" s="1">
        <v>303426</v>
      </c>
      <c r="C68" s="1">
        <v>3034</v>
      </c>
      <c r="D68" t="s">
        <v>35</v>
      </c>
      <c r="E68" t="s">
        <v>6</v>
      </c>
      <c r="F68" s="7">
        <v>1</v>
      </c>
      <c r="G68" s="10">
        <v>0.25</v>
      </c>
      <c r="H68" s="3">
        <f t="shared" si="1"/>
        <v>0.25</v>
      </c>
    </row>
    <row r="69" spans="2:8" x14ac:dyDescent="0.25">
      <c r="B69" s="1">
        <v>303526</v>
      </c>
      <c r="C69" s="1">
        <v>3035</v>
      </c>
      <c r="D69" t="s">
        <v>51</v>
      </c>
      <c r="E69" t="s">
        <v>6</v>
      </c>
      <c r="F69" s="7">
        <v>1</v>
      </c>
      <c r="G69" s="10">
        <v>0.46</v>
      </c>
      <c r="H69" s="3">
        <f t="shared" si="1"/>
        <v>0.46</v>
      </c>
    </row>
    <row r="70" spans="2:8" x14ac:dyDescent="0.25">
      <c r="B70" s="1">
        <v>243121</v>
      </c>
      <c r="C70" s="1">
        <v>2431</v>
      </c>
      <c r="D70" t="s">
        <v>52</v>
      </c>
      <c r="E70" t="s">
        <v>17</v>
      </c>
      <c r="F70" s="7">
        <v>2</v>
      </c>
      <c r="G70" s="10">
        <v>0.13</v>
      </c>
      <c r="H70" s="3">
        <f t="shared" si="1"/>
        <v>0.26</v>
      </c>
    </row>
    <row r="71" spans="2:8" x14ac:dyDescent="0.25">
      <c r="B71" s="1"/>
      <c r="C71" s="1"/>
      <c r="G71" s="10"/>
      <c r="H71" s="15">
        <f>SUBTOTAL(109,Table4[Total Cost])</f>
        <v>4.1100000000000003</v>
      </c>
    </row>
    <row r="72" spans="2:8" x14ac:dyDescent="0.25">
      <c r="B72" s="1"/>
      <c r="C72" s="1"/>
      <c r="G72" s="10"/>
      <c r="H72" s="3"/>
    </row>
    <row r="73" spans="2:8" x14ac:dyDescent="0.25">
      <c r="B73" s="1"/>
      <c r="C73" s="1"/>
      <c r="G73" s="10"/>
      <c r="H73" s="3"/>
    </row>
    <row r="74" spans="2:8" x14ac:dyDescent="0.25">
      <c r="B74" s="1"/>
      <c r="C74" s="1"/>
      <c r="G74" s="10"/>
      <c r="H74" s="3"/>
    </row>
  </sheetData>
  <hyperlinks>
    <hyperlink ref="C2" r:id="rId1" xr:uid="{17EF0979-152B-4972-9745-8AAEE713699A}"/>
    <hyperlink ref="C8" r:id="rId2" xr:uid="{8ED3F0F8-EBFB-43AC-8BD0-C2BAE22CF7E4}"/>
    <hyperlink ref="C5" r:id="rId3" xr:uid="{43E2B375-B2A3-431F-9CCD-C2F5B2832378}"/>
    <hyperlink ref="C7" r:id="rId4" xr:uid="{8AFB8533-6E4E-46B4-B8D9-FFFE940BAA89}"/>
    <hyperlink ref="C57" r:id="rId5" xr:uid="{50B5993D-BB00-48A4-809D-EA5CA7349311}"/>
    <hyperlink ref="C58" r:id="rId6" xr:uid="{6D8BC74E-B55C-461E-AE65-10221A386BEA}"/>
    <hyperlink ref="C59" r:id="rId7" xr:uid="{83A5B3C8-9351-4C2A-ADFA-3FFC74A6D915}"/>
    <hyperlink ref="C60" r:id="rId8" xr:uid="{FF3E4C1D-95D1-427F-A4E9-943E7C0B0497}"/>
    <hyperlink ref="C61" r:id="rId9" xr:uid="{0CF55A9C-8080-42EF-8430-343E3E3525B2}"/>
    <hyperlink ref="C6" r:id="rId10" display="Images SI - Uranium Ore" xr:uid="{2A42E8E4-BEF6-4EA2-A0A4-DCE432363EC4}"/>
  </hyperlinks>
  <pageMargins left="0.7" right="0.7" top="0.75" bottom="0.75" header="0.3" footer="0.3"/>
  <pageSetup orientation="portrait" horizontalDpi="4294967293" verticalDpi="0" r:id="rId11"/>
  <tableParts count="4">
    <tablePart r:id="rId12"/>
    <tablePart r:id="rId13"/>
    <tablePart r:id="rId14"/>
    <tablePart r:id="rId1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MSN Biersach</dc:creator>
  <cp:lastModifiedBy>David MSN Biersach</cp:lastModifiedBy>
  <dcterms:created xsi:type="dcterms:W3CDTF">2021-07-13T04:03:30Z</dcterms:created>
  <dcterms:modified xsi:type="dcterms:W3CDTF">2021-11-14T04:44:33Z</dcterms:modified>
</cp:coreProperties>
</file>